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lculation Check" sheetId="1" state="visible" r:id="rId1"/>
    <sheet name="Broker Ledger" sheetId="2" state="visible" r:id="rId2"/>
    <sheet name="Grouped View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?#,##0;[Red]-?#,##0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5803D"/>
      <sz val="10"/>
    </font>
    <font>
      <name val="Calibri"/>
      <b val="1"/>
      <color rgb="FF7E22CE"/>
      <sz val="10"/>
    </font>
    <font>
      <name val="Calibri"/>
      <b val="1"/>
      <sz val="10"/>
    </font>
    <font>
      <name val="Calibri"/>
      <b val="1"/>
      <color rgb="FFDC2626"/>
      <sz val="10"/>
    </font>
    <font>
      <name val="Calibri"/>
      <family val="2"/>
      <sz val="8"/>
      <scheme val="minor"/>
    </font>
    <font>
      <name val="Arial"/>
      <b val="1"/>
      <color rgb="00FFFFFF"/>
      <sz val="16"/>
    </font>
    <font>
      <name val="Arial"/>
      <i val="1"/>
      <color rgb="00666666"/>
      <sz val="1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16A34A"/>
      </patternFill>
    </fill>
    <fill>
      <patternFill patternType="solid">
        <fgColor rgb="FF7E22CE"/>
      </patternFill>
    </fill>
    <fill>
      <patternFill patternType="solid">
        <fgColor rgb="FFCA8A04"/>
      </patternFill>
    </fill>
    <fill>
      <patternFill patternType="solid">
        <fgColor rgb="FFB91C1C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0017365D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4" fontId="3" fillId="0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3" fontId="6" fillId="9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/>
    </xf>
    <xf numFmtId="0" fontId="9" fillId="0" borderId="0" applyAlignment="1" pivotButton="0" quotePrefix="0" xfId="0">
      <alignment wrapText="1"/>
    </xf>
    <xf numFmtId="0" fontId="10" fillId="11" borderId="0" applyAlignment="1" pivotButton="0" quotePrefix="0" xfId="0">
      <alignment horizont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10" fillId="11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2" customWidth="1" min="3" max="3"/>
  </cols>
  <sheetData>
    <row r="1" ht="30" customHeight="1">
      <c r="A1" s="18" t="inlineStr">
        <is>
          <t>Broker Ledger - Calculation Check</t>
        </is>
      </c>
    </row>
    <row r="2" ht="30" customHeight="1">
      <c r="A2" s="19" t="inlineStr">
        <is>
          <t>Totals use numeric values in the source columns; text placeholders such as "na" are ignored.</t>
        </is>
      </c>
    </row>
    <row r="4">
      <c r="A4" s="20" t="inlineStr">
        <is>
          <t>Metric</t>
        </is>
      </c>
      <c r="B4" s="20" t="inlineStr">
        <is>
          <t>Calculated total</t>
        </is>
      </c>
      <c r="C4" s="20" t="inlineStr">
        <is>
          <t>Independent check</t>
        </is>
      </c>
    </row>
    <row r="5">
      <c r="A5" s="21" t="inlineStr">
        <is>
          <t>Total Freight</t>
        </is>
      </c>
      <c r="B5" s="22">
        <f>SUM('Grouped View'!K:K)</f>
        <v/>
      </c>
      <c r="C5" s="21">
        <f>IF(B5=252000,"OK","REVIEW")</f>
        <v/>
      </c>
    </row>
    <row r="6">
      <c r="A6" s="21" t="inlineStr">
        <is>
          <t>Total Advance</t>
        </is>
      </c>
      <c r="B6" s="22">
        <f>SUM('Grouped View'!O:O)</f>
        <v/>
      </c>
      <c r="C6" s="21">
        <f>IF(B6=149200,"OK","REVIEW")</f>
        <v/>
      </c>
    </row>
    <row r="7">
      <c r="A7" s="21" t="inlineStr">
        <is>
          <t>Total P/M</t>
        </is>
      </c>
      <c r="B7" s="22">
        <f>SUM('Grouped View'!Y:Y)</f>
        <v/>
      </c>
      <c r="C7" s="21">
        <f>IF(B7=500,"OK","REVIEW")</f>
        <v/>
      </c>
    </row>
    <row r="8">
      <c r="A8" s="21" t="inlineStr">
        <is>
          <t>Pending Amount</t>
        </is>
      </c>
      <c r="B8" s="22">
        <f>SUM('Grouped View'!Z:Z)</f>
        <v/>
      </c>
      <c r="C8" s="21">
        <f>IF(B8=24500,"OK","REVIEW")</f>
        <v/>
      </c>
    </row>
    <row r="9">
      <c r="A9" s="21" t="inlineStr">
        <is>
          <t>Extra Amount</t>
        </is>
      </c>
      <c r="B9" s="22">
        <f>SUM('Grouped View'!W:W)</f>
        <v/>
      </c>
      <c r="C9" s="21">
        <f>IF(B9=5000,"OK","REVIEW")</f>
        <v/>
      </c>
    </row>
    <row r="10">
      <c r="A10" s="21" t="inlineStr">
        <is>
          <t>Numeric COD / To-Pay</t>
        </is>
      </c>
      <c r="B10" s="22">
        <f>SUM('Grouped View'!U:U)</f>
        <v/>
      </c>
      <c r="C10" s="21">
        <f>IF(B10=82000,"OK","REVIEW")</f>
        <v/>
      </c>
    </row>
    <row r="11">
      <c r="A11" s="21" t="inlineStr">
        <is>
          <t>Pending Amount: Tobilled</t>
        </is>
      </c>
      <c r="B11" s="22">
        <f>SUM('Grouped View'!V:V)</f>
        <v/>
      </c>
      <c r="C11" s="21">
        <f>IF(B11=20000,"OK","REVIEW")</f>
        <v/>
      </c>
    </row>
    <row r="14">
      <c r="A14" s="23" t="inlineStr">
        <is>
          <t>Status</t>
        </is>
      </c>
      <c r="B14" s="23" t="inlineStr">
        <is>
          <t>Shipment count</t>
        </is>
      </c>
    </row>
    <row r="15">
      <c r="A15" t="inlineStr">
        <is>
          <t>TOBILLED</t>
        </is>
      </c>
      <c r="B15">
        <f>COUNTIF('Grouped View'!M:M,A15)</f>
        <v/>
      </c>
    </row>
    <row r="16">
      <c r="A16" t="inlineStr">
        <is>
          <t>A/TO-PAY</t>
        </is>
      </c>
      <c r="B16">
        <f>COUNTIF('Grouped View'!M:M,A16)</f>
        <v/>
      </c>
    </row>
    <row r="17">
      <c r="A17" t="inlineStr">
        <is>
          <t>F/TO-PAY</t>
        </is>
      </c>
      <c r="B17">
        <f>COUNTIF('Grouped View'!M:M,A17)</f>
        <v/>
      </c>
    </row>
    <row r="19">
      <c r="A19" t="inlineStr">
        <is>
          <t>Record count</t>
        </is>
      </c>
      <c r="B19">
        <f>COUNTA('Grouped View'!A:A)-3</f>
        <v/>
      </c>
    </row>
    <row r="21">
      <c r="A21" s="23" t="inlineStr">
        <is>
          <t>Calculation notes</t>
        </is>
      </c>
    </row>
    <row r="22" ht="48" customHeight="1">
      <c r="A22" s="24" t="inlineStr">
        <is>
          <t>Pending Amount (?24,500) and Pending Amount: Tobilled (?20,000) are separate source columns and are reported separately. Numeric COD / To-Pay entries total ?82,000; text placeholders are excluded.</t>
        </is>
      </c>
    </row>
  </sheetData>
  <mergeCells count="3">
    <mergeCell ref="A1:C1"/>
    <mergeCell ref="A2:C2"/>
    <mergeCell ref="A22:C22"/>
  </mergeCells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"/>
  <sheetViews>
    <sheetView tabSelected="1" zoomScale="53" zoomScaleNormal="114" workbookViewId="0">
      <selection activeCell="U24" sqref="U24"/>
    </sheetView>
  </sheetViews>
  <sheetFormatPr baseColWidth="8" defaultRowHeight="14.4"/>
  <cols>
    <col width="5.6640625" bestFit="1" customWidth="1" min="1" max="1"/>
    <col width="16.5546875" bestFit="1" customWidth="1" min="2" max="2"/>
    <col width="10.109375" bestFit="1" customWidth="1" min="3" max="3"/>
    <col width="5.88671875" bestFit="1" customWidth="1" min="4" max="4"/>
    <col width="11.44140625" bestFit="1" customWidth="1" min="5" max="5"/>
    <col width="9.109375" bestFit="1" customWidth="1" min="6" max="6"/>
    <col width="11.5546875" bestFit="1" customWidth="1" min="7" max="7"/>
    <col width="15.109375" bestFit="1" customWidth="1" min="8" max="8"/>
    <col width="12" bestFit="1" customWidth="1" min="9" max="9"/>
    <col width="14.21875" bestFit="1" customWidth="1" min="10" max="10"/>
    <col width="6.88671875" bestFit="1" customWidth="1" min="11" max="11"/>
    <col width="10.109375" bestFit="1" customWidth="1" min="12" max="12"/>
    <col width="10.77734375" bestFit="1" customWidth="1" min="13" max="13"/>
    <col width="4.33203125" bestFit="1" customWidth="1" min="14" max="14"/>
    <col width="8.6640625" bestFit="1" customWidth="1" min="15" max="15"/>
    <col width="6.5546875" bestFit="1" customWidth="1" min="16" max="16"/>
    <col width="9.6640625" bestFit="1" customWidth="1" min="17" max="17"/>
    <col width="6.109375" bestFit="1" customWidth="1" min="18" max="18"/>
    <col width="9.6640625" bestFit="1" customWidth="1" min="19" max="19"/>
    <col width="13.5546875" bestFit="1" customWidth="1" min="20" max="20"/>
    <col width="34.21875" bestFit="1" customWidth="1" min="21" max="21"/>
    <col width="22" bestFit="1" customWidth="1" min="22" max="22"/>
    <col width="11.88671875" bestFit="1" customWidth="1" min="23" max="23"/>
    <col width="10.77734375" bestFit="1" customWidth="1" min="24" max="24"/>
    <col width="4.44140625" bestFit="1" customWidth="1" min="25" max="25"/>
    <col width="14.44140625" bestFit="1" customWidth="1" min="26" max="26"/>
    <col width="17" bestFit="1" customWidth="1" min="27" max="27"/>
    <col width="16.33203125" bestFit="1" customWidth="1" min="28" max="28"/>
  </cols>
  <sheetData>
    <row r="1" ht="25.95" customHeight="1">
      <c r="A1" s="1" t="inlineStr">
        <is>
          <t>SL NO</t>
        </is>
      </c>
      <c r="B1" s="1" t="inlineStr">
        <is>
          <t>TRSP NAME</t>
        </is>
      </c>
      <c r="C1" s="1" t="inlineStr">
        <is>
          <t>DATE</t>
        </is>
      </c>
      <c r="D1" s="1" t="inlineStr">
        <is>
          <t>LR NO</t>
        </is>
      </c>
      <c r="E1" s="1" t="inlineStr">
        <is>
          <t>TRUCK NO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ACCOUNT NO</t>
        </is>
      </c>
      <c r="I1" s="1" t="inlineStr">
        <is>
          <t>IFSC CODE</t>
        </is>
      </c>
      <c r="J1" s="1" t="inlineStr">
        <is>
          <t>PAYMENT MADE</t>
        </is>
      </c>
      <c r="K1" s="1" t="inlineStr">
        <is>
          <t>FRIGHT</t>
        </is>
      </c>
      <c r="L1" s="1" t="inlineStr">
        <is>
          <t>DATE</t>
        </is>
      </c>
      <c r="M1" s="2" t="inlineStr">
        <is>
          <t>ToPayStatus</t>
        </is>
      </c>
      <c r="N1" s="1" t="inlineStr">
        <is>
          <t>T/M</t>
        </is>
      </c>
      <c r="O1" s="3" t="inlineStr">
        <is>
          <t>ADVANCE</t>
        </is>
      </c>
      <c r="P1" s="1" t="inlineStr">
        <is>
          <t>DATE 2</t>
        </is>
      </c>
      <c r="Q1" s="1" t="inlineStr">
        <is>
          <t>ADVANCE2</t>
        </is>
      </c>
      <c r="R1" s="1" t="inlineStr">
        <is>
          <t>DATE3</t>
        </is>
      </c>
      <c r="S1" s="1" t="inlineStr">
        <is>
          <t>ADVANCE3</t>
        </is>
      </c>
      <c r="T1" s="4" t="inlineStr">
        <is>
          <t>POD RECD Date</t>
        </is>
      </c>
      <c r="U1" s="4" t="inlineStr">
        <is>
          <t>Cash on Delivery (COD) :A/Topay&amp;Ftopay</t>
        </is>
      </c>
      <c r="V1" s="5" t="inlineStr">
        <is>
          <t>Pending Amount: Tobilled</t>
        </is>
      </c>
      <c r="W1" s="5" t="inlineStr">
        <is>
          <t>Extra Amount</t>
        </is>
      </c>
      <c r="X1" s="5" t="inlineStr">
        <is>
          <t>PM/PA Date</t>
        </is>
      </c>
      <c r="Y1" s="1" t="inlineStr">
        <is>
          <t>P/M</t>
        </is>
      </c>
      <c r="Z1" s="4" t="inlineStr">
        <is>
          <t>Pending Amount</t>
        </is>
      </c>
      <c r="AA1" s="1" t="inlineStr">
        <is>
          <t>POD Amount Status</t>
        </is>
      </c>
      <c r="AB1" s="1" t="inlineStr">
        <is>
          <t>REMARKS / NOTE</t>
        </is>
      </c>
    </row>
    <row r="2" ht="19.95" customHeight="1">
      <c r="A2" s="6" t="inlineStr">
        <is>
          <t>1</t>
        </is>
      </c>
      <c r="B2" s="7" t="inlineStr">
        <is>
          <t>ANTP SAINATH</t>
        </is>
      </c>
      <c r="C2" s="6" t="inlineStr">
        <is>
          <t>20-08-2026</t>
        </is>
      </c>
      <c r="D2" s="6" t="inlineStr">
        <is>
          <t>207</t>
        </is>
      </c>
      <c r="E2" s="6" t="inlineStr">
        <is>
          <t>AP39UD3564</t>
        </is>
      </c>
      <c r="F2" s="7" t="inlineStr">
        <is>
          <t>LUCKNOW</t>
        </is>
      </c>
      <c r="G2" s="7" t="inlineStr">
        <is>
          <t>MEDCHAL</t>
        </is>
      </c>
      <c r="H2" s="6" t="inlineStr">
        <is>
          <t>38216860303</t>
        </is>
      </c>
      <c r="I2" s="6" t="inlineStr">
        <is>
          <t>SBIN0010659</t>
        </is>
      </c>
      <c r="J2" s="7" t="inlineStr">
        <is>
          <t>SBI BANK</t>
        </is>
      </c>
      <c r="K2" s="8" t="n">
        <v>60000</v>
      </c>
      <c r="L2" s="6" t="inlineStr">
        <is>
          <t>02-09-2026</t>
        </is>
      </c>
      <c r="M2" s="9" t="inlineStr">
        <is>
          <t>TOBILLED</t>
        </is>
      </c>
      <c r="N2" s="8" t="n">
        <v>300</v>
      </c>
      <c r="O2" s="10" t="n">
        <v>49700</v>
      </c>
      <c r="P2" s="6" t="inlineStr">
        <is>
          <t>na</t>
        </is>
      </c>
      <c r="Q2" s="8" t="n">
        <v>0</v>
      </c>
      <c r="R2" s="6" t="inlineStr">
        <is>
          <t>na</t>
        </is>
      </c>
      <c r="S2" s="8" t="n">
        <v>0</v>
      </c>
      <c r="T2" s="11" t="n">
        <v>46254</v>
      </c>
      <c r="U2" s="11" t="inlineStr">
        <is>
          <t>if Tobilled NA</t>
        </is>
      </c>
      <c r="V2" s="12">
        <f>K2-N2-O2-Q2-S2</f>
        <v/>
      </c>
      <c r="W2" s="12" t="n">
        <v>0</v>
      </c>
      <c r="X2" s="11" t="n">
        <v>46262</v>
      </c>
      <c r="Y2" s="8" t="n">
        <v>200</v>
      </c>
      <c r="Z2" s="12">
        <f>V2+W2-Y2</f>
        <v/>
      </c>
      <c r="AA2" s="13">
        <f>IF(M2="TOBILLED",V2+W2-Y2-Z2)</f>
        <v/>
      </c>
      <c r="AB2" s="7" t="n"/>
    </row>
    <row r="3" ht="19.95" customHeight="1">
      <c r="A3" s="6" t="inlineStr">
        <is>
          <t>2</t>
        </is>
      </c>
      <c r="B3" s="7" t="inlineStr">
        <is>
          <t>SARITHA TRSP</t>
        </is>
      </c>
      <c r="C3" s="6" t="inlineStr">
        <is>
          <t>03-09-2026</t>
        </is>
      </c>
      <c r="D3" s="6" t="inlineStr">
        <is>
          <t>208</t>
        </is>
      </c>
      <c r="E3" s="6" t="inlineStr">
        <is>
          <t>TG15T6666</t>
        </is>
      </c>
      <c r="F3" s="7" t="inlineStr">
        <is>
          <t>RAIPUR</t>
        </is>
      </c>
      <c r="G3" s="7" t="inlineStr">
        <is>
          <t>MEDCHAL</t>
        </is>
      </c>
      <c r="H3" s="6" t="inlineStr">
        <is>
          <t>0312035592</t>
        </is>
      </c>
      <c r="I3" s="6" t="inlineStr">
        <is>
          <t>KKBK0008406</t>
        </is>
      </c>
      <c r="J3" s="7" t="inlineStr">
        <is>
          <t>KKBK BANK</t>
        </is>
      </c>
      <c r="K3" s="8" t="n">
        <v>60000</v>
      </c>
      <c r="L3" s="6" t="inlineStr">
        <is>
          <t>15-10-2026</t>
        </is>
      </c>
      <c r="M3" s="9" t="inlineStr">
        <is>
          <t>TOBILLED</t>
        </is>
      </c>
      <c r="N3" s="8" t="n">
        <v>300</v>
      </c>
      <c r="O3" s="10" t="n">
        <v>49700</v>
      </c>
      <c r="P3" s="6" t="inlineStr">
        <is>
          <t>na</t>
        </is>
      </c>
      <c r="Q3" s="8" t="n">
        <v>0</v>
      </c>
      <c r="R3" s="6" t="inlineStr">
        <is>
          <t>na</t>
        </is>
      </c>
      <c r="S3" s="8" t="n">
        <v>0</v>
      </c>
      <c r="T3" s="14" t="inlineStr">
        <is>
          <t>07-09-2026</t>
        </is>
      </c>
      <c r="U3" s="11" t="inlineStr">
        <is>
          <t>if Tobilled NA</t>
        </is>
      </c>
      <c r="V3" s="12">
        <f>K3-N3-O3-Q3-S3</f>
        <v/>
      </c>
      <c r="W3" s="12" t="n">
        <v>5000</v>
      </c>
      <c r="X3" s="11" t="n">
        <v>46263</v>
      </c>
      <c r="Y3" s="8" t="n">
        <v>300</v>
      </c>
      <c r="Z3" s="12">
        <f>V3+W3-Y3</f>
        <v/>
      </c>
      <c r="AA3" s="13">
        <f>IF(M3="TOBILLED",V3+W3-Y3-Z3)</f>
        <v/>
      </c>
      <c r="AB3" s="7" t="inlineStr">
        <is>
          <t>Halted</t>
        </is>
      </c>
    </row>
    <row r="4"/>
    <row r="5"/>
    <row r="6"/>
    <row r="7" ht="25.95" customHeight="1">
      <c r="A7" s="1" t="inlineStr">
        <is>
          <t>SL NO</t>
        </is>
      </c>
      <c r="B7" s="1" t="inlineStr">
        <is>
          <t>TRSP NAME</t>
        </is>
      </c>
      <c r="C7" s="1" t="inlineStr">
        <is>
          <t>DATE</t>
        </is>
      </c>
      <c r="D7" s="1" t="inlineStr">
        <is>
          <t>LR NO</t>
        </is>
      </c>
      <c r="E7" s="1" t="inlineStr">
        <is>
          <t>TRUCK NO</t>
        </is>
      </c>
      <c r="F7" s="1" t="inlineStr">
        <is>
          <t>FROM</t>
        </is>
      </c>
      <c r="G7" s="1" t="inlineStr">
        <is>
          <t>TO</t>
        </is>
      </c>
      <c r="H7" s="1" t="inlineStr">
        <is>
          <t>ACCOUNT NO</t>
        </is>
      </c>
      <c r="I7" s="1" t="inlineStr">
        <is>
          <t>IFSC CODE</t>
        </is>
      </c>
      <c r="J7" s="1" t="inlineStr">
        <is>
          <t>PAYMENT MADE</t>
        </is>
      </c>
      <c r="K7" s="1" t="inlineStr">
        <is>
          <t>FRIGHT</t>
        </is>
      </c>
      <c r="L7" s="1" t="inlineStr">
        <is>
          <t>DATE</t>
        </is>
      </c>
      <c r="M7" s="2" t="inlineStr">
        <is>
          <t>ToPayStatus</t>
        </is>
      </c>
      <c r="N7" s="1" t="inlineStr">
        <is>
          <t>T/M</t>
        </is>
      </c>
      <c r="O7" s="3" t="inlineStr">
        <is>
          <t>ADVANCE</t>
        </is>
      </c>
      <c r="P7" s="1" t="inlineStr">
        <is>
          <t>DATE 2</t>
        </is>
      </c>
      <c r="Q7" s="1" t="inlineStr">
        <is>
          <t>ADVANCE2</t>
        </is>
      </c>
      <c r="R7" s="1" t="inlineStr">
        <is>
          <t>DATE3</t>
        </is>
      </c>
      <c r="S7" s="1" t="inlineStr">
        <is>
          <t>ADVANCE3</t>
        </is>
      </c>
      <c r="T7" s="4" t="inlineStr">
        <is>
          <t>POD RECD Date</t>
        </is>
      </c>
      <c r="U7" s="4" t="inlineStr">
        <is>
          <t>Cash on Delivery (COD) :A/Topay&amp;Ftopay</t>
        </is>
      </c>
      <c r="V7" s="5" t="inlineStr">
        <is>
          <t>Pending Amount: Tobilled</t>
        </is>
      </c>
      <c r="W7" s="5" t="inlineStr">
        <is>
          <t>Extra Amount</t>
        </is>
      </c>
      <c r="X7" s="5" t="inlineStr">
        <is>
          <t>PM/PA Date</t>
        </is>
      </c>
      <c r="Y7" s="1" t="inlineStr">
        <is>
          <t>P/M</t>
        </is>
      </c>
      <c r="Z7" s="4" t="inlineStr">
        <is>
          <t>Pending Amount</t>
        </is>
      </c>
      <c r="AA7" s="1" t="inlineStr">
        <is>
          <t>POD Amount Status</t>
        </is>
      </c>
      <c r="AB7" s="1" t="inlineStr">
        <is>
          <t>REMARKS / NOTE</t>
        </is>
      </c>
    </row>
    <row r="8" ht="19.95" customHeight="1">
      <c r="A8" s="6" t="inlineStr">
        <is>
          <t>4</t>
        </is>
      </c>
      <c r="B8" s="7" t="inlineStr">
        <is>
          <t>SARITHA TRSP</t>
        </is>
      </c>
      <c r="C8" s="6" t="inlineStr">
        <is>
          <t>01-10-2026</t>
        </is>
      </c>
      <c r="D8" s="6" t="inlineStr">
        <is>
          <t>196</t>
        </is>
      </c>
      <c r="E8" s="6" t="inlineStr">
        <is>
          <t>TG15T6666</t>
        </is>
      </c>
      <c r="F8" s="7" t="inlineStr">
        <is>
          <t>MEDCHAL</t>
        </is>
      </c>
      <c r="G8" s="7" t="inlineStr">
        <is>
          <t>MADHAPURA</t>
        </is>
      </c>
      <c r="H8" s="6" t="inlineStr">
        <is>
          <t>0312035592</t>
        </is>
      </c>
      <c r="I8" s="6" t="inlineStr">
        <is>
          <t>KKBK0008406</t>
        </is>
      </c>
      <c r="J8" s="7" t="inlineStr">
        <is>
          <t>KKBK BANK</t>
        </is>
      </c>
      <c r="K8" s="8" t="n">
        <v>90000</v>
      </c>
      <c r="L8" s="6" t="inlineStr">
        <is>
          <t>17-10-2026</t>
        </is>
      </c>
      <c r="M8" s="9" t="inlineStr">
        <is>
          <t>A/TO-PAY</t>
        </is>
      </c>
      <c r="N8" s="8" t="n">
        <v>200</v>
      </c>
      <c r="O8" s="8" t="n">
        <v>49800</v>
      </c>
      <c r="P8" s="6" t="inlineStr">
        <is>
          <t>na</t>
        </is>
      </c>
      <c r="Q8" s="8" t="n">
        <v>0</v>
      </c>
      <c r="R8" s="6" t="inlineStr">
        <is>
          <t>na</t>
        </is>
      </c>
      <c r="S8" s="8" t="n">
        <v>0</v>
      </c>
      <c r="T8" s="14" t="inlineStr">
        <is>
          <t>19-10-2026</t>
        </is>
      </c>
      <c r="U8" s="17">
        <f>K8-N8-O8-Q8-S8</f>
        <v/>
      </c>
      <c r="V8" s="12" t="inlineStr">
        <is>
          <t>if A/Topay&amp;Ftopay Na</t>
        </is>
      </c>
      <c r="W8" s="12" t="n">
        <v>0</v>
      </c>
      <c r="X8" s="11" t="n">
        <v>46265</v>
      </c>
      <c r="Y8" s="8" t="n">
        <v>0</v>
      </c>
      <c r="Z8" s="12">
        <f>K8-N8-O8-U8</f>
        <v/>
      </c>
      <c r="AA8" s="6" t="n">
        <v>0</v>
      </c>
      <c r="AB8" s="7" t="inlineStr"/>
    </row>
    <row r="9"/>
    <row r="10"/>
    <row r="11" ht="25.95" customHeight="1">
      <c r="A11" s="1" t="inlineStr">
        <is>
          <t>SL NO</t>
        </is>
      </c>
      <c r="B11" s="1" t="inlineStr">
        <is>
          <t>TRSP NAME</t>
        </is>
      </c>
      <c r="C11" s="1" t="inlineStr">
        <is>
          <t>DATE</t>
        </is>
      </c>
      <c r="D11" s="1" t="inlineStr">
        <is>
          <t>LR NO</t>
        </is>
      </c>
      <c r="E11" s="1" t="inlineStr">
        <is>
          <t>TRUCK NO</t>
        </is>
      </c>
      <c r="F11" s="1" t="inlineStr">
        <is>
          <t>FROM</t>
        </is>
      </c>
      <c r="G11" s="1" t="inlineStr">
        <is>
          <t>TO</t>
        </is>
      </c>
      <c r="H11" s="1" t="inlineStr">
        <is>
          <t>ACCOUNT NO</t>
        </is>
      </c>
      <c r="I11" s="1" t="inlineStr">
        <is>
          <t>IFSC CODE</t>
        </is>
      </c>
      <c r="J11" s="1" t="inlineStr">
        <is>
          <t>PAYMENT MADE</t>
        </is>
      </c>
      <c r="K11" s="1" t="inlineStr">
        <is>
          <t>FRIGHT</t>
        </is>
      </c>
      <c r="L11" s="1" t="inlineStr">
        <is>
          <t>DATE</t>
        </is>
      </c>
      <c r="M11" s="2" t="inlineStr">
        <is>
          <t>ToPayStatus</t>
        </is>
      </c>
      <c r="N11" s="1" t="inlineStr">
        <is>
          <t>T/M</t>
        </is>
      </c>
      <c r="O11" s="3" t="inlineStr">
        <is>
          <t>ADVANCE</t>
        </is>
      </c>
      <c r="P11" s="1" t="inlineStr">
        <is>
          <t>DATE 2</t>
        </is>
      </c>
      <c r="Q11" s="1" t="inlineStr">
        <is>
          <t>ADVANCE2</t>
        </is>
      </c>
      <c r="R11" s="1" t="inlineStr">
        <is>
          <t>DATE3</t>
        </is>
      </c>
      <c r="S11" s="1" t="inlineStr">
        <is>
          <t>ADVANCE3</t>
        </is>
      </c>
      <c r="T11" s="4" t="inlineStr">
        <is>
          <t>POD RECD Date</t>
        </is>
      </c>
      <c r="U11" s="4" t="inlineStr">
        <is>
          <t>Cash on Delivery (COD) :A/Topay&amp;Ftopay</t>
        </is>
      </c>
      <c r="V11" s="5" t="inlineStr">
        <is>
          <t>Pending Amount: Tobilled</t>
        </is>
      </c>
      <c r="W11" s="5" t="inlineStr">
        <is>
          <t>Extra Amount</t>
        </is>
      </c>
      <c r="X11" s="5" t="inlineStr">
        <is>
          <t>PM/PA Date</t>
        </is>
      </c>
      <c r="Y11" s="1" t="inlineStr">
        <is>
          <t>P/M</t>
        </is>
      </c>
      <c r="Z11" s="4" t="inlineStr">
        <is>
          <t>Pending Amount</t>
        </is>
      </c>
      <c r="AA11" s="1" t="inlineStr">
        <is>
          <t>POD Amount Status</t>
        </is>
      </c>
      <c r="AB11" s="1" t="inlineStr">
        <is>
          <t>REMARKS / NOTE</t>
        </is>
      </c>
    </row>
    <row r="12" ht="19.95" customHeight="1">
      <c r="A12" s="6" t="inlineStr">
        <is>
          <t>3</t>
        </is>
      </c>
      <c r="B12" s="7" t="inlineStr">
        <is>
          <t>CG RANCHI R/WAYS</t>
        </is>
      </c>
      <c r="C12" s="6" t="inlineStr">
        <is>
          <t>29-09-2026</t>
        </is>
      </c>
      <c r="D12" s="6" t="inlineStr">
        <is>
          <t>195</t>
        </is>
      </c>
      <c r="E12" s="6" t="inlineStr">
        <is>
          <t>CG08AZ4714</t>
        </is>
      </c>
      <c r="F12" s="7" t="inlineStr">
        <is>
          <t>MEDCHAL</t>
        </is>
      </c>
      <c r="G12" s="7" t="inlineStr">
        <is>
          <t>PANKANJUR</t>
        </is>
      </c>
      <c r="H12" s="6" t="inlineStr">
        <is>
          <t>29122900001083</t>
        </is>
      </c>
      <c r="I12" s="6" t="inlineStr">
        <is>
          <t>DCBL0000291</t>
        </is>
      </c>
      <c r="J12" s="7" t="inlineStr">
        <is>
          <t>DCB BANK</t>
        </is>
      </c>
      <c r="K12" s="8" t="n">
        <v>42000</v>
      </c>
      <c r="L12" s="6" t="inlineStr">
        <is>
          <t>01-10-2026</t>
        </is>
      </c>
      <c r="M12" s="9" t="inlineStr">
        <is>
          <t>F/TO-PAY</t>
        </is>
      </c>
      <c r="N12" s="8" t="n">
        <v>0</v>
      </c>
      <c r="O12" s="8" t="n">
        <v>0</v>
      </c>
      <c r="P12" s="6" t="inlineStr">
        <is>
          <t>na</t>
        </is>
      </c>
      <c r="Q12" s="8" t="n">
        <v>0</v>
      </c>
      <c r="R12" s="6" t="inlineStr">
        <is>
          <t>na</t>
        </is>
      </c>
      <c r="S12" s="8" t="n">
        <v>0</v>
      </c>
      <c r="T12" s="15" t="inlineStr">
        <is>
          <t>Pending</t>
        </is>
      </c>
      <c r="U12" s="16">
        <f>K12-N12-O12-Q12-S12</f>
        <v/>
      </c>
      <c r="V12" s="12" t="inlineStr">
        <is>
          <t>if A/Topay&amp;Ftopay Na</t>
        </is>
      </c>
      <c r="W12" s="12" t="n">
        <v>0</v>
      </c>
      <c r="X12" s="11" t="n">
        <v>46264</v>
      </c>
      <c r="Y12" s="8" t="n">
        <v>0</v>
      </c>
      <c r="Z12" s="12">
        <f>K12-N12-O12-U12</f>
        <v/>
      </c>
      <c r="AA12" s="6" t="n">
        <v>0</v>
      </c>
      <c r="AB12" s="7" t="inlineStr">
        <is>
          <t>F/TO-PAY Shipment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1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6640625" customWidth="1" min="1" max="1"/>
    <col width="16.5546875" customWidth="1" min="2" max="2"/>
    <col width="10.109375" customWidth="1" min="3" max="3"/>
    <col width="5.88671875" customWidth="1" min="4" max="4"/>
    <col width="11.44140625" customWidth="1" min="5" max="5"/>
    <col width="9.109375" customWidth="1" min="6" max="6"/>
    <col width="11.5546875" customWidth="1" min="7" max="7"/>
    <col width="15.109375" customWidth="1" min="8" max="8"/>
    <col width="12" customWidth="1" min="9" max="9"/>
    <col width="14.21875" customWidth="1" min="10" max="10"/>
    <col width="6.88671875" customWidth="1" min="11" max="11"/>
    <col width="10.109375" customWidth="1" min="12" max="12"/>
    <col width="10.77734375" customWidth="1" min="13" max="13"/>
    <col width="4.33203125" customWidth="1" min="14" max="14"/>
    <col width="8.6640625" customWidth="1" min="15" max="15"/>
    <col width="6.5546875" customWidth="1" min="16" max="16"/>
    <col width="9.6640625" customWidth="1" min="17" max="17"/>
    <col width="6.109375" customWidth="1" min="18" max="18"/>
    <col width="9.6640625" customWidth="1" min="19" max="19"/>
    <col width="13.5546875" customWidth="1" min="20" max="20"/>
    <col width="34.21875" customWidth="1" min="21" max="21"/>
    <col width="22" customWidth="1" min="22" max="22"/>
    <col width="11.88671875" customWidth="1" min="23" max="23"/>
    <col width="10.77734375" customWidth="1" min="24" max="24"/>
    <col width="4.44140625" customWidth="1" min="25" max="25"/>
    <col width="14.44140625" customWidth="1" min="26" max="26"/>
    <col width="17" customWidth="1" min="27" max="27"/>
    <col width="16.33203125" customWidth="1" min="28" max="28"/>
  </cols>
  <sheetData>
    <row r="1" ht="25.95" customHeight="1">
      <c r="A1" s="1" t="inlineStr">
        <is>
          <t>SL NO</t>
        </is>
      </c>
      <c r="B1" s="1" t="inlineStr">
        <is>
          <t>TRSP NAME</t>
        </is>
      </c>
      <c r="C1" s="1" t="inlineStr">
        <is>
          <t>DATE</t>
        </is>
      </c>
      <c r="D1" s="1" t="inlineStr">
        <is>
          <t>LR NO</t>
        </is>
      </c>
      <c r="E1" s="1" t="inlineStr">
        <is>
          <t>TRUCK NO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ACCOUNT NO</t>
        </is>
      </c>
      <c r="I1" s="1" t="inlineStr">
        <is>
          <t>IFSC CODE</t>
        </is>
      </c>
      <c r="J1" s="1" t="inlineStr">
        <is>
          <t>PAYMENT MADE</t>
        </is>
      </c>
      <c r="K1" s="1" t="inlineStr">
        <is>
          <t>FRIGHT</t>
        </is>
      </c>
      <c r="L1" s="1" t="inlineStr">
        <is>
          <t>DATE</t>
        </is>
      </c>
      <c r="M1" s="2" t="inlineStr">
        <is>
          <t>ToPayStatus</t>
        </is>
      </c>
      <c r="N1" s="1" t="inlineStr">
        <is>
          <t>T/M</t>
        </is>
      </c>
      <c r="O1" s="3" t="inlineStr">
        <is>
          <t>ADVANCE</t>
        </is>
      </c>
      <c r="P1" s="1" t="inlineStr">
        <is>
          <t>DATE 2</t>
        </is>
      </c>
      <c r="Q1" s="1" t="inlineStr">
        <is>
          <t>ADVANCE2</t>
        </is>
      </c>
      <c r="R1" s="1" t="inlineStr">
        <is>
          <t>DATE3</t>
        </is>
      </c>
      <c r="S1" s="1" t="inlineStr">
        <is>
          <t>ADVANCE3</t>
        </is>
      </c>
      <c r="T1" s="4" t="inlineStr">
        <is>
          <t>POD RECD Date</t>
        </is>
      </c>
      <c r="U1" s="4" t="inlineStr">
        <is>
          <t>Cash on Delivery (COD) :A/Topay&amp;Ftopay</t>
        </is>
      </c>
      <c r="V1" s="5" t="inlineStr">
        <is>
          <t>Pending Amount: Tobilled</t>
        </is>
      </c>
      <c r="W1" s="5" t="inlineStr">
        <is>
          <t>Extra Amount</t>
        </is>
      </c>
      <c r="X1" s="5" t="inlineStr">
        <is>
          <t>PM/PA Date</t>
        </is>
      </c>
      <c r="Y1" s="1" t="inlineStr">
        <is>
          <t>P/M</t>
        </is>
      </c>
      <c r="Z1" s="4" t="inlineStr">
        <is>
          <t>Pending Amount</t>
        </is>
      </c>
      <c r="AA1" s="1" t="inlineStr">
        <is>
          <t>POD Amount Status</t>
        </is>
      </c>
      <c r="AB1" s="1" t="inlineStr">
        <is>
          <t>REMARKS / NOTE</t>
        </is>
      </c>
    </row>
    <row r="2" ht="19.95" customHeight="1">
      <c r="A2" s="6" t="inlineStr">
        <is>
          <t>1</t>
        </is>
      </c>
      <c r="B2" s="7" t="inlineStr">
        <is>
          <t>ANTP SAINATH</t>
        </is>
      </c>
      <c r="C2" s="6" t="inlineStr">
        <is>
          <t>20-08-2026</t>
        </is>
      </c>
      <c r="D2" s="6" t="inlineStr">
        <is>
          <t>207</t>
        </is>
      </c>
      <c r="E2" s="6" t="inlineStr">
        <is>
          <t>AP39UD3564</t>
        </is>
      </c>
      <c r="F2" s="7" t="inlineStr">
        <is>
          <t>LUCKNOW</t>
        </is>
      </c>
      <c r="G2" s="7" t="inlineStr">
        <is>
          <t>MEDCHAL</t>
        </is>
      </c>
      <c r="H2" s="6" t="inlineStr">
        <is>
          <t>38216860303</t>
        </is>
      </c>
      <c r="I2" s="6" t="inlineStr">
        <is>
          <t>SBIN0010659</t>
        </is>
      </c>
      <c r="J2" s="7" t="inlineStr">
        <is>
          <t>SBI BANK</t>
        </is>
      </c>
      <c r="K2" s="8" t="n">
        <v>60000</v>
      </c>
      <c r="L2" s="6" t="inlineStr">
        <is>
          <t>02-09-2026</t>
        </is>
      </c>
      <c r="M2" s="9" t="inlineStr">
        <is>
          <t>TOBILLED</t>
        </is>
      </c>
      <c r="N2" s="8" t="n">
        <v>300</v>
      </c>
      <c r="O2" s="10" t="n">
        <v>49700</v>
      </c>
      <c r="P2" s="6" t="inlineStr">
        <is>
          <t>na</t>
        </is>
      </c>
      <c r="Q2" s="8" t="n">
        <v>0</v>
      </c>
      <c r="R2" s="6" t="inlineStr">
        <is>
          <t>na</t>
        </is>
      </c>
      <c r="S2" s="8" t="n">
        <v>0</v>
      </c>
      <c r="T2" s="11" t="n">
        <v>46254</v>
      </c>
      <c r="U2" s="11" t="inlineStr">
        <is>
          <t>if Tobilled NA</t>
        </is>
      </c>
      <c r="V2" s="12">
        <f>K2-N2-O2-Q2-S2</f>
        <v/>
      </c>
      <c r="W2" s="12" t="n">
        <v>0</v>
      </c>
      <c r="X2" s="11" t="n">
        <v>46262</v>
      </c>
      <c r="Y2" s="8" t="n">
        <v>200</v>
      </c>
      <c r="Z2" s="12">
        <f>V2+W2-Y2</f>
        <v/>
      </c>
      <c r="AA2" s="13">
        <f>IF(M2="TOBILLED",V2+W2-Y2-Z2)</f>
        <v/>
      </c>
      <c r="AB2" s="7" t="n"/>
    </row>
    <row r="3" ht="19.95" customHeight="1">
      <c r="A3" s="6" t="inlineStr">
        <is>
          <t>2</t>
        </is>
      </c>
      <c r="B3" s="7" t="inlineStr">
        <is>
          <t>SARITHA TRSP</t>
        </is>
      </c>
      <c r="C3" s="6" t="inlineStr">
        <is>
          <t>03-09-2026</t>
        </is>
      </c>
      <c r="D3" s="6" t="inlineStr">
        <is>
          <t>208</t>
        </is>
      </c>
      <c r="E3" s="6" t="inlineStr">
        <is>
          <t>TG15T6666</t>
        </is>
      </c>
      <c r="F3" s="7" t="inlineStr">
        <is>
          <t>RAIPUR</t>
        </is>
      </c>
      <c r="G3" s="7" t="inlineStr">
        <is>
          <t>MEDCHAL</t>
        </is>
      </c>
      <c r="H3" s="6" t="inlineStr">
        <is>
          <t>0312035592</t>
        </is>
      </c>
      <c r="I3" s="6" t="inlineStr">
        <is>
          <t>KKBK0008406</t>
        </is>
      </c>
      <c r="J3" s="7" t="inlineStr">
        <is>
          <t>KKBK BANK</t>
        </is>
      </c>
      <c r="K3" s="8" t="n">
        <v>60000</v>
      </c>
      <c r="L3" s="6" t="inlineStr">
        <is>
          <t>15-10-2026</t>
        </is>
      </c>
      <c r="M3" s="9" t="inlineStr">
        <is>
          <t>TOBILLED</t>
        </is>
      </c>
      <c r="N3" s="8" t="n">
        <v>300</v>
      </c>
      <c r="O3" s="10" t="n">
        <v>49700</v>
      </c>
      <c r="P3" s="6" t="inlineStr">
        <is>
          <t>na</t>
        </is>
      </c>
      <c r="Q3" s="8" t="n">
        <v>0</v>
      </c>
      <c r="R3" s="6" t="inlineStr">
        <is>
          <t>na</t>
        </is>
      </c>
      <c r="S3" s="8" t="n">
        <v>0</v>
      </c>
      <c r="T3" s="14" t="inlineStr">
        <is>
          <t>07-09-2026</t>
        </is>
      </c>
      <c r="U3" s="11" t="inlineStr">
        <is>
          <t>if Tobilled NA</t>
        </is>
      </c>
      <c r="V3" s="12">
        <f>K3-N3-O3-Q3-S3</f>
        <v/>
      </c>
      <c r="W3" s="12" t="n">
        <v>5000</v>
      </c>
      <c r="X3" s="11" t="n">
        <v>46263</v>
      </c>
      <c r="Y3" s="8" t="n">
        <v>300</v>
      </c>
      <c r="Z3" s="12">
        <f>V3+W3-Y3</f>
        <v/>
      </c>
      <c r="AA3" s="13">
        <f>IF(M3="TOBILLED",V3+W3-Y3-Z3)</f>
        <v/>
      </c>
      <c r="AB3" s="7" t="inlineStr">
        <is>
          <t>Halted</t>
        </is>
      </c>
    </row>
    <row r="6" ht="25.95" customHeight="1">
      <c r="A6" s="1" t="inlineStr">
        <is>
          <t>SL NO</t>
        </is>
      </c>
      <c r="B6" s="1" t="inlineStr">
        <is>
          <t>TRSP NAME</t>
        </is>
      </c>
      <c r="C6" s="1" t="inlineStr">
        <is>
          <t>DATE</t>
        </is>
      </c>
      <c r="D6" s="1" t="inlineStr">
        <is>
          <t>LR NO</t>
        </is>
      </c>
      <c r="E6" s="1" t="inlineStr">
        <is>
          <t>TRUCK NO</t>
        </is>
      </c>
      <c r="F6" s="1" t="inlineStr">
        <is>
          <t>FROM</t>
        </is>
      </c>
      <c r="G6" s="1" t="inlineStr">
        <is>
          <t>TO</t>
        </is>
      </c>
      <c r="H6" s="1" t="inlineStr">
        <is>
          <t>ACCOUNT NO</t>
        </is>
      </c>
      <c r="I6" s="1" t="inlineStr">
        <is>
          <t>IFSC CODE</t>
        </is>
      </c>
      <c r="J6" s="1" t="inlineStr">
        <is>
          <t>PAYMENT MADE</t>
        </is>
      </c>
      <c r="K6" s="1" t="inlineStr">
        <is>
          <t>FRIGHT</t>
        </is>
      </c>
      <c r="L6" s="1" t="inlineStr">
        <is>
          <t>DATE</t>
        </is>
      </c>
      <c r="M6" s="2" t="inlineStr">
        <is>
          <t>ToPayStatus</t>
        </is>
      </c>
      <c r="N6" s="1" t="inlineStr">
        <is>
          <t>T/M</t>
        </is>
      </c>
      <c r="O6" s="3" t="inlineStr">
        <is>
          <t>ADVANCE</t>
        </is>
      </c>
      <c r="P6" s="1" t="inlineStr">
        <is>
          <t>DATE 2</t>
        </is>
      </c>
      <c r="Q6" s="1" t="inlineStr">
        <is>
          <t>ADVANCE2</t>
        </is>
      </c>
      <c r="R6" s="1" t="inlineStr">
        <is>
          <t>DATE3</t>
        </is>
      </c>
      <c r="S6" s="1" t="inlineStr">
        <is>
          <t>ADVANCE3</t>
        </is>
      </c>
      <c r="T6" s="4" t="inlineStr">
        <is>
          <t>POD RECD Date</t>
        </is>
      </c>
      <c r="U6" s="4" t="inlineStr">
        <is>
          <t>Cash on Delivery (COD) :A/Topay&amp;Ftopay</t>
        </is>
      </c>
      <c r="V6" s="5" t="inlineStr">
        <is>
          <t>Pending Amount: Tobilled</t>
        </is>
      </c>
      <c r="W6" s="5" t="inlineStr">
        <is>
          <t>Extra Amount</t>
        </is>
      </c>
      <c r="X6" s="5" t="inlineStr">
        <is>
          <t>PM/PA Date</t>
        </is>
      </c>
      <c r="Y6" s="1" t="inlineStr">
        <is>
          <t>P/M</t>
        </is>
      </c>
      <c r="Z6" s="4" t="inlineStr">
        <is>
          <t>Pending Amount</t>
        </is>
      </c>
      <c r="AA6" s="1" t="inlineStr">
        <is>
          <t>POD Amount Status</t>
        </is>
      </c>
      <c r="AB6" s="1" t="inlineStr">
        <is>
          <t>REMARKS / NOTE</t>
        </is>
      </c>
    </row>
    <row r="7" ht="19.95" customHeight="1">
      <c r="A7" s="6" t="inlineStr">
        <is>
          <t>4</t>
        </is>
      </c>
      <c r="B7" s="7" t="inlineStr">
        <is>
          <t>SARITHA TRSP</t>
        </is>
      </c>
      <c r="C7" s="6" t="inlineStr">
        <is>
          <t>01-10-2026</t>
        </is>
      </c>
      <c r="D7" s="6" t="inlineStr">
        <is>
          <t>196</t>
        </is>
      </c>
      <c r="E7" s="6" t="inlineStr">
        <is>
          <t>TG15T6666</t>
        </is>
      </c>
      <c r="F7" s="7" t="inlineStr">
        <is>
          <t>MEDCHAL</t>
        </is>
      </c>
      <c r="G7" s="7" t="inlineStr">
        <is>
          <t>MADHAPURA</t>
        </is>
      </c>
      <c r="H7" s="6" t="inlineStr">
        <is>
          <t>0312035592</t>
        </is>
      </c>
      <c r="I7" s="6" t="inlineStr">
        <is>
          <t>KKBK0008406</t>
        </is>
      </c>
      <c r="J7" s="7" t="inlineStr">
        <is>
          <t>KKBK BANK</t>
        </is>
      </c>
      <c r="K7" s="8" t="n">
        <v>90000</v>
      </c>
      <c r="L7" s="6" t="inlineStr">
        <is>
          <t>17-10-2026</t>
        </is>
      </c>
      <c r="M7" s="9" t="inlineStr">
        <is>
          <t>A/TO-PAY</t>
        </is>
      </c>
      <c r="N7" s="8" t="n">
        <v>200</v>
      </c>
      <c r="O7" s="8" t="n">
        <v>49800</v>
      </c>
      <c r="P7" s="6" t="inlineStr">
        <is>
          <t>na</t>
        </is>
      </c>
      <c r="Q7" s="8" t="n">
        <v>0</v>
      </c>
      <c r="R7" s="6" t="inlineStr">
        <is>
          <t>na</t>
        </is>
      </c>
      <c r="S7" s="8" t="n">
        <v>0</v>
      </c>
      <c r="T7" s="14" t="inlineStr">
        <is>
          <t>19-10-2026</t>
        </is>
      </c>
      <c r="U7" s="17">
        <f>K7-N7-O7-Q7-S7</f>
        <v/>
      </c>
      <c r="V7" s="12" t="inlineStr">
        <is>
          <t>if A/Topay&amp;Ftopay Na</t>
        </is>
      </c>
      <c r="W7" s="12" t="n">
        <v>0</v>
      </c>
      <c r="X7" s="11" t="n">
        <v>46265</v>
      </c>
      <c r="Y7" s="8" t="n">
        <v>0</v>
      </c>
      <c r="Z7" s="12">
        <f>K7-N7-O7-U7</f>
        <v/>
      </c>
      <c r="AA7" s="6" t="n">
        <v>0</v>
      </c>
      <c r="AB7" s="7" t="inlineStr"/>
    </row>
    <row r="10" ht="25.95" customHeight="1">
      <c r="A10" s="1" t="inlineStr">
        <is>
          <t>SL NO</t>
        </is>
      </c>
      <c r="B10" s="1" t="inlineStr">
        <is>
          <t>TRSP NAME</t>
        </is>
      </c>
      <c r="C10" s="1" t="inlineStr">
        <is>
          <t>DATE</t>
        </is>
      </c>
      <c r="D10" s="1" t="inlineStr">
        <is>
          <t>LR NO</t>
        </is>
      </c>
      <c r="E10" s="1" t="inlineStr">
        <is>
          <t>TRUCK NO</t>
        </is>
      </c>
      <c r="F10" s="1" t="inlineStr">
        <is>
          <t>FROM</t>
        </is>
      </c>
      <c r="G10" s="1" t="inlineStr">
        <is>
          <t>TO</t>
        </is>
      </c>
      <c r="H10" s="1" t="inlineStr">
        <is>
          <t>ACCOUNT NO</t>
        </is>
      </c>
      <c r="I10" s="1" t="inlineStr">
        <is>
          <t>IFSC CODE</t>
        </is>
      </c>
      <c r="J10" s="1" t="inlineStr">
        <is>
          <t>PAYMENT MADE</t>
        </is>
      </c>
      <c r="K10" s="1" t="inlineStr">
        <is>
          <t>FRIGHT</t>
        </is>
      </c>
      <c r="L10" s="1" t="inlineStr">
        <is>
          <t>DATE</t>
        </is>
      </c>
      <c r="M10" s="2" t="inlineStr">
        <is>
          <t>ToPayStatus</t>
        </is>
      </c>
      <c r="N10" s="1" t="inlineStr">
        <is>
          <t>T/M</t>
        </is>
      </c>
      <c r="O10" s="3" t="inlineStr">
        <is>
          <t>ADVANCE</t>
        </is>
      </c>
      <c r="P10" s="1" t="inlineStr">
        <is>
          <t>DATE 2</t>
        </is>
      </c>
      <c r="Q10" s="1" t="inlineStr">
        <is>
          <t>ADVANCE2</t>
        </is>
      </c>
      <c r="R10" s="1" t="inlineStr">
        <is>
          <t>DATE3</t>
        </is>
      </c>
      <c r="S10" s="1" t="inlineStr">
        <is>
          <t>ADVANCE3</t>
        </is>
      </c>
      <c r="T10" s="4" t="inlineStr">
        <is>
          <t>POD RECD Date</t>
        </is>
      </c>
      <c r="U10" s="4" t="inlineStr">
        <is>
          <t>Cash on Delivery (COD) :A/Topay&amp;Ftopay</t>
        </is>
      </c>
      <c r="V10" s="5" t="inlineStr">
        <is>
          <t>Pending Amount: Tobilled</t>
        </is>
      </c>
      <c r="W10" s="5" t="inlineStr">
        <is>
          <t>Extra Amount</t>
        </is>
      </c>
      <c r="X10" s="5" t="inlineStr">
        <is>
          <t>PM/PA Date</t>
        </is>
      </c>
      <c r="Y10" s="1" t="inlineStr">
        <is>
          <t>P/M</t>
        </is>
      </c>
      <c r="Z10" s="4" t="inlineStr">
        <is>
          <t>Pending Amount</t>
        </is>
      </c>
      <c r="AA10" s="1" t="inlineStr">
        <is>
          <t>POD Amount Status</t>
        </is>
      </c>
      <c r="AB10" s="1" t="inlineStr">
        <is>
          <t>REMARKS / NOTE</t>
        </is>
      </c>
    </row>
    <row r="11" ht="19.95" customHeight="1">
      <c r="A11" s="6" t="inlineStr">
        <is>
          <t>3</t>
        </is>
      </c>
      <c r="B11" s="7" t="inlineStr">
        <is>
          <t>CG RANCHI R/WAYS</t>
        </is>
      </c>
      <c r="C11" s="6" t="inlineStr">
        <is>
          <t>29-09-2026</t>
        </is>
      </c>
      <c r="D11" s="6" t="inlineStr">
        <is>
          <t>195</t>
        </is>
      </c>
      <c r="E11" s="6" t="inlineStr">
        <is>
          <t>CG08AZ4714</t>
        </is>
      </c>
      <c r="F11" s="7" t="inlineStr">
        <is>
          <t>MEDCHAL</t>
        </is>
      </c>
      <c r="G11" s="7" t="inlineStr">
        <is>
          <t>PANKANJUR</t>
        </is>
      </c>
      <c r="H11" s="6" t="inlineStr">
        <is>
          <t>29122900001083</t>
        </is>
      </c>
      <c r="I11" s="6" t="inlineStr">
        <is>
          <t>DCBL0000291</t>
        </is>
      </c>
      <c r="J11" s="7" t="inlineStr">
        <is>
          <t>DCB BANK</t>
        </is>
      </c>
      <c r="K11" s="8" t="n">
        <v>42000</v>
      </c>
      <c r="L11" s="6" t="inlineStr">
        <is>
          <t>01-10-2026</t>
        </is>
      </c>
      <c r="M11" s="9" t="inlineStr">
        <is>
          <t>F/TO-PAY</t>
        </is>
      </c>
      <c r="N11" s="8" t="n">
        <v>0</v>
      </c>
      <c r="O11" s="8" t="n">
        <v>0</v>
      </c>
      <c r="P11" s="6" t="inlineStr">
        <is>
          <t>na</t>
        </is>
      </c>
      <c r="Q11" s="8" t="n">
        <v>0</v>
      </c>
      <c r="R11" s="6" t="inlineStr">
        <is>
          <t>na</t>
        </is>
      </c>
      <c r="S11" s="8" t="n">
        <v>0</v>
      </c>
      <c r="T11" s="15" t="inlineStr">
        <is>
          <t>Pending</t>
        </is>
      </c>
      <c r="U11" s="16">
        <f>K11-N11-O11-Q11-S11</f>
        <v/>
      </c>
      <c r="V11" s="12" t="inlineStr">
        <is>
          <t>if A/Topay&amp;Ftopay Na</t>
        </is>
      </c>
      <c r="W11" s="12" t="n">
        <v>0</v>
      </c>
      <c r="X11" s="11" t="n">
        <v>46264</v>
      </c>
      <c r="Y11" s="8" t="n">
        <v>0</v>
      </c>
      <c r="Z11" s="12">
        <f>K11-N11-O11-U11</f>
        <v/>
      </c>
      <c r="AA11" s="6" t="n">
        <v>0</v>
      </c>
      <c r="AB11" s="7" t="inlineStr">
        <is>
          <t>F/TO-PAY Shipment</t>
        </is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2026-10-25T08:04:04Z</dcterms:created>
  <dcterms:modified xsi:type="dcterms:W3CDTF">2026-10-27T16:31:34Z</dcterms:modified>
</cp:coreProperties>
</file>